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SComarch\Downloads\"/>
    </mc:Choice>
  </mc:AlternateContent>
  <xr:revisionPtr revIDLastSave="0" documentId="13_ncr:1_{781EF328-BB02-4D0B-83F2-3BD4E6265EF0}" xr6:coauthVersionLast="47" xr6:coauthVersionMax="47" xr10:uidLastSave="{00000000-0000-0000-0000-000000000000}"/>
  <bookViews>
    <workbookView xWindow="6465" yWindow="375" windowWidth="21570" windowHeight="11025" xr2:uid="{00000000-000D-0000-FFFF-FFFF00000000}"/>
  </bookViews>
  <sheets>
    <sheet name="Clean Data" sheetId="1" r:id="rId1"/>
  </sheets>
  <definedNames>
    <definedName name="_xlnm._FilterDatabase" localSheetId="0" hidden="1">'Clean Data'!$C$5:$G$35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" i="1" a="1"/>
  <c r="I2" i="1" s="1"/>
  <c r="H3" i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2" i="1" a="1"/>
  <c r="H2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2" i="1" a="1"/>
  <c r="J2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J20" i="1" a="1"/>
  <c r="J20" i="1" s="1"/>
  <c r="K20" i="1" a="1"/>
  <c r="K20" i="1"/>
  <c r="J21" i="1" a="1"/>
  <c r="J21" i="1" s="1"/>
  <c r="K21" i="1" a="1"/>
  <c r="K21" i="1"/>
  <c r="K15" i="1" a="1"/>
  <c r="K15" i="1" s="1"/>
  <c r="K16" i="1" a="1"/>
  <c r="K16" i="1" s="1"/>
  <c r="K17" i="1" a="1"/>
  <c r="K17" i="1" s="1"/>
  <c r="K18" i="1" a="1"/>
  <c r="K18" i="1"/>
  <c r="K19" i="1" a="1"/>
  <c r="K19" i="1" s="1"/>
  <c r="J19" i="1" a="1"/>
  <c r="J19" i="1" s="1"/>
  <c r="J17" i="1" a="1"/>
  <c r="J17" i="1" s="1"/>
  <c r="J18" i="1" a="1"/>
  <c r="J18" i="1" s="1"/>
  <c r="J16" i="1" a="1"/>
  <c r="J16" i="1" s="1"/>
  <c r="P5" i="1" a="1"/>
  <c r="P5" i="1" s="1"/>
  <c r="O5" i="1" a="1"/>
  <c r="O5" i="1" s="1"/>
  <c r="O4" i="1" a="1"/>
  <c r="O4" i="1" s="1"/>
  <c r="O3" i="1" a="1"/>
  <c r="O3" i="1" s="1"/>
  <c r="Q3" i="1" a="1"/>
  <c r="Q3" i="1" s="1"/>
  <c r="P3" i="1" a="1"/>
  <c r="P3" i="1" s="1"/>
  <c r="P8" i="1"/>
  <c r="P7" i="1"/>
  <c r="P10" i="1" l="1" a="1"/>
  <c r="P10" i="1" s="1"/>
  <c r="P12" i="1" a="1"/>
  <c r="P12" i="1" s="1"/>
  <c r="P11" i="1" a="1"/>
  <c r="P11" i="1" s="1"/>
  <c r="L2" i="1" a="1"/>
  <c r="L2" i="1" s="1"/>
  <c r="P9" i="1" a="1"/>
  <c r="P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<sst xmlns="http://schemas.openxmlformats.org/spreadsheetml/2006/main" count="102" uniqueCount="45">
  <si>
    <t>Salesperson</t>
  </si>
  <si>
    <t>Region</t>
  </si>
  <si>
    <t>Product Name</t>
  </si>
  <si>
    <t>Sales Amount</t>
  </si>
  <si>
    <t>Northeast</t>
  </si>
  <si>
    <t>Widget A</t>
  </si>
  <si>
    <t>West</t>
  </si>
  <si>
    <t>Widget B</t>
  </si>
  <si>
    <t>Widget C</t>
  </si>
  <si>
    <t>South</t>
  </si>
  <si>
    <t>Alan Turing</t>
  </si>
  <si>
    <t>Grace Hopper</t>
  </si>
  <si>
    <t>Ada Lovelace</t>
  </si>
  <si>
    <t>Charles Babbage</t>
  </si>
  <si>
    <t>Katherine Johnson</t>
  </si>
  <si>
    <t>George Boole</t>
  </si>
  <si>
    <t>Hedy Lamarr</t>
  </si>
  <si>
    <t>Tim Berners-Lee</t>
  </si>
  <si>
    <t>Linus Torvalds</t>
  </si>
  <si>
    <t>Margaret Hamilton</t>
  </si>
  <si>
    <t>Claude Shannon</t>
  </si>
  <si>
    <t>Joan Clarke</t>
  </si>
  <si>
    <t>Michael Faraday</t>
  </si>
  <si>
    <t>Dorothy Vaughan</t>
  </si>
  <si>
    <t>Sergey Brin</t>
  </si>
  <si>
    <t>Larry Page</t>
  </si>
  <si>
    <t>Elon Musk</t>
  </si>
  <si>
    <t>Barbara Liskov</t>
  </si>
  <si>
    <t>Edsger W. Dijkstra</t>
  </si>
  <si>
    <t>Carol Shaw</t>
  </si>
  <si>
    <t>Donald Knuth</t>
  </si>
  <si>
    <t>Ada Yonath</t>
  </si>
  <si>
    <t>Emmett Brown</t>
  </si>
  <si>
    <t>Grace Murray Hopper</t>
  </si>
  <si>
    <t>Jean Bartik</t>
  </si>
  <si>
    <t>Ken Thompson</t>
  </si>
  <si>
    <t>Linus Pauling</t>
  </si>
  <si>
    <t>Mae Jemison</t>
  </si>
  <si>
    <t>Niklaus Wirth</t>
  </si>
  <si>
    <t>Radia Perlman</t>
  </si>
  <si>
    <t>#</t>
  </si>
  <si>
    <t>Automate Excel with ChatGPT</t>
  </si>
  <si>
    <t>Use Case Scenario : 1</t>
  </si>
  <si>
    <t>Formula</t>
  </si>
  <si>
    <t>Formula creation with help of Chat 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</si>
</sst>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_(* #,##0.00_);_(* \(#,##0.00\);_(* &quot;-&quot;??_);_(@_)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ook Antiqua"/>
      <family val="1"/>
    </font>
    <font>
      <b/>
      <sz val="12"/>
      <color theme="0"/>
      <name val="Book Antiqua"/>
      <family val="1"/>
    </font>
    <font>
      <sz val="12"/>
      <color rgb="FF374151"/>
      <name val="Book Antiqua"/>
      <family val="1"/>
    </font>
    <font>
      <b/>
      <sz val="16"/>
      <color theme="1"/>
      <name val="Book Antiqua"/>
      <family val="1"/>
    </font>
    <font>
      <b/>
      <sz val="12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6" fontId="2" fillId="0" borderId="0" xfId="1" applyNumberFormat="1" applyFont="1"/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0" fontId="2" fillId="3" borderId="5" xfId="0" applyFont="1" applyFill="1" applyBorder="1"/>
    <xf numFmtId="0" fontId="2" fillId="0" borderId="6" xfId="0" applyFont="1" applyBorder="1" applyAlignment="1">
      <alignment horizontal="center"/>
    </xf>
    <xf numFmtId="164" fontId="2" fillId="3" borderId="7" xfId="0" applyNumberFormat="1" applyFont="1" applyFill="1" applyBorder="1"/>
  </cellXfs>
  <cellStyles count="2">
    <cellStyle name="Dziesiętny" xfId="1" builtinId="3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5"/>
  <sheetViews>
    <sheetView showGridLines="0" tabSelected="1" topLeftCell="D1" workbookViewId="0">
      <selection activeCell="I8" sqref="I8"/>
    </sheetView>
  </sheetViews>
  <sheetFormatPr defaultColWidth="8.85546875" defaultRowHeight="15.75" x14ac:dyDescent="0.25"/>
  <cols>
    <col min="1" max="2" width="8.85546875" style="1"/>
    <col min="3" max="3" width="4.28515625" style="1" bestFit="1" customWidth="1"/>
    <col min="4" max="4" width="27.28515625" style="1" customWidth="1"/>
    <col min="5" max="5" width="12.42578125" style="1" customWidth="1"/>
    <col min="6" max="6" width="16.28515625" style="1" customWidth="1"/>
    <col min="7" max="7" width="14.28515625" style="1" customWidth="1"/>
    <col min="8" max="8" width="8.85546875" style="1"/>
    <col min="9" max="9" width="11" style="1" bestFit="1" customWidth="1"/>
    <col min="10" max="10" width="12.5703125" style="1" bestFit="1" customWidth="1"/>
    <col min="11" max="14" width="8.85546875" style="1"/>
    <col min="15" max="15" width="12.5703125" style="1" bestFit="1" customWidth="1"/>
    <col min="16" max="16" width="16.5703125" style="1" bestFit="1" customWidth="1"/>
    <col min="17" max="17" width="14.7109375" style="1" bestFit="1" customWidth="1"/>
    <col min="18" max="18" width="14.5703125" style="1" bestFit="1" customWidth="1"/>
    <col min="19" max="16384" width="8.85546875" style="1"/>
  </cols>
  <sheetData>
    <row r="1" spans="1:17" ht="20.25" x14ac:dyDescent="0.3">
      <c r="A1" s="9" t="s">
        <v>41</v>
      </c>
    </row>
    <row r="2" spans="1:17" ht="16.5" x14ac:dyDescent="0.3">
      <c r="A2" s="10" t="s">
        <v>42</v>
      </c>
      <c r="H2" s="1">
        <f t="array" ref="H2">MAX(IF(E:E=E2,G:G))</f>
        <v>0</v>
      </c>
      <c r="I2" s="1">
        <f t="array" ref="I2">IF(G2=H2,D2,"")</f>
        <v>0</v>
      </c>
      <c r="J2" s="1">
        <f t="array" ref="J2">IF(G2=MAX(IF(E:E=E2,G:G)),D2,"")</f>
        <v>0</v>
      </c>
      <c r="L2" s="1" cm="1">
        <f t="array" ref="L2">INDEX(D2:D100, MATCH(MAX(IF(E2:E100=I2, G2:G100)), IF(E2:E100=I2, G2:G100), 0))</f>
        <v>0</v>
      </c>
      <c r="O2" s="1" t="s">
        <v>6</v>
      </c>
      <c r="P2" s="1" t="s">
        <v>4</v>
      </c>
      <c r="Q2" s="1" t="s">
        <v>9</v>
      </c>
    </row>
    <row r="3" spans="1:17" x14ac:dyDescent="0.25">
      <c r="A3" s="1" t="s">
        <v>44</v>
      </c>
      <c r="H3" s="1">
        <f t="array" ref="H3">MAX(IF(E:E=E3,G:G))</f>
        <v>0</v>
      </c>
      <c r="I3" s="1">
        <f t="array" ref="I3">IF(G3=H3,D3,"")</f>
        <v>0</v>
      </c>
      <c r="J3" s="1">
        <f t="array" ref="J3">IF(G3=MAX(IF(E:E=E3,G:G)),D3,"")</f>
        <v>0</v>
      </c>
      <c r="O3" s="1" t="str">
        <f t="array" aca="1" ref="O3" ca="1">IFERROR(TEKST.ZŁĄCZ(" , ", TRUE, _xlfn._xlws.FILTER(D2:D100, (E2:E100=O2)*(G2:G100=MAX(IF(E2:E100=O2, G2:G100))))), "Brak danych")</f>
        <v>Brak danych</v>
      </c>
      <c r="P3" s="1" t="str" cm="1">
        <f t="array" ref="P3">_xlfn._xlws.FILTER(D2:D100, (E2:E100=P2)*(G2:G100=MAX(IF(E2:E100=P2, G2:G100))))</f>
        <v>Ada Lovelace</v>
      </c>
      <c r="Q3" s="1" t="str" cm="1">
        <f t="array" ref="Q3">_xlfn._xlws.FILTER(D2:D100, (E2:E100=Q2)*(G2:G100=MAX(IF(E2:E100=Q2, G2:G100))))</f>
        <v>Barbara Liskov</v>
      </c>
    </row>
    <row r="4" spans="1:17" ht="16.5" thickBot="1" x14ac:dyDescent="0.3">
      <c r="H4" s="1">
        <f t="array" ref="H4">MAX(IF(E:E=E4,G:G))</f>
        <v>0</v>
      </c>
      <c r="I4" s="1">
        <f t="array" ref="I4">IF(G4=H4,D4,"")</f>
        <v>0</v>
      </c>
      <c r="J4" s="1">
        <f t="array" ref="J4">IF(G4=MAX(IF(E:E=E4,G:G)),D4,"")</f>
        <v>0</v>
      </c>
      <c r="O4" s="1" cm="1">
        <f t="array" ref="O4">MAX(IF(E2:E100=O2, G2:G100))</f>
        <v>850</v>
      </c>
    </row>
    <row r="5" spans="1:17" ht="33.75" thickBot="1" x14ac:dyDescent="0.3">
      <c r="C5" s="2" t="s">
        <v>40</v>
      </c>
      <c r="D5" s="2" t="s">
        <v>0</v>
      </c>
      <c r="E5" s="2" t="s">
        <v>1</v>
      </c>
      <c r="F5" s="2" t="s">
        <v>2</v>
      </c>
      <c r="G5" s="3" t="s">
        <v>3</v>
      </c>
      <c r="H5" s="1">
        <f t="array" ref="H5">MAX(IF(E:E=E5,G:G))</f>
        <v>0</v>
      </c>
      <c r="I5" s="1" t="str">
        <f t="array" ref="I5">IF(G5=H5,D5,"")</f>
        <v/>
      </c>
      <c r="J5" s="1" t="str">
        <f t="array" ref="J5">IF(G5=MAX(IF(E:E=E5,G:G)),D5,"")</f>
        <v/>
      </c>
      <c r="O5" s="1" t="str" cm="1">
        <f t="array" aca="1" ref="O5" ca="1">IFERROR(TEKST.ZŁĄCZ(" , ", TRUE, _xlfn._xlws.FILTER(D2:D100, (E2:E100=O2)*(G2:G100=MAX(IF(E2:E100=O2, G2:G100))))), "Brak danych")</f>
        <v>Brak danych</v>
      </c>
      <c r="P5" s="1" t="str">
        <f t="array" aca="1" ref="P5" ca="1">IFERROR(TEKST.ZŁĄCZ(" , ", TRUE, _xlfn._xlws.FILTER(D2:D100, (E2:E100=O2)*(G2:G100=MAX(IF(E2:E100=O2, G2:G100))))), "Brak danych")</f>
        <v>Brak danych</v>
      </c>
    </row>
    <row r="6" spans="1:17" ht="16.5" thickBot="1" x14ac:dyDescent="0.3">
      <c r="C6" s="4">
        <v>1</v>
      </c>
      <c r="D6" s="5" t="s">
        <v>10</v>
      </c>
      <c r="E6" s="5" t="s">
        <v>4</v>
      </c>
      <c r="F6" s="5" t="s">
        <v>5</v>
      </c>
      <c r="G6" s="6">
        <v>500</v>
      </c>
      <c r="H6" s="1">
        <f t="array" ref="H6">MAX(IF(E:E=E6,G:G))</f>
        <v>750</v>
      </c>
      <c r="I6" s="1" t="str">
        <f t="array" ref="I6">IF(G6=H6,D6,"")</f>
        <v/>
      </c>
      <c r="J6" s="1" t="str">
        <f t="array" ref="J6">IF(G6=MAX(IF(E:E=E6,G:G)),D6,"")</f>
        <v/>
      </c>
      <c r="P6" s="12" t="s">
        <v>43</v>
      </c>
    </row>
    <row r="7" spans="1:17" ht="16.5" thickBot="1" x14ac:dyDescent="0.3">
      <c r="C7" s="4">
        <v>2</v>
      </c>
      <c r="D7" s="5" t="s">
        <v>11</v>
      </c>
      <c r="E7" s="5" t="s">
        <v>6</v>
      </c>
      <c r="F7" s="5" t="s">
        <v>7</v>
      </c>
      <c r="G7" s="6">
        <v>300</v>
      </c>
      <c r="H7" s="1">
        <f t="array" ref="H7">MAX(IF(E:E=E7,G:G))</f>
        <v>850</v>
      </c>
      <c r="I7" s="1" t="str">
        <f t="array" ref="I7">IF(G7=H7,D7,"")</f>
        <v/>
      </c>
      <c r="J7" s="1" t="str">
        <f t="array" ref="J7">IF(G7=MAX(IF(E:E=E7,G:G)),D7,"")</f>
        <v/>
      </c>
      <c r="O7" s="7"/>
      <c r="P7" s="13">
        <f>SUM(G2:G100)</f>
        <v>15730</v>
      </c>
    </row>
    <row r="8" spans="1:17" ht="16.5" thickBot="1" x14ac:dyDescent="0.3">
      <c r="C8" s="4">
        <v>3</v>
      </c>
      <c r="D8" s="5" t="s">
        <v>12</v>
      </c>
      <c r="E8" s="5" t="s">
        <v>4</v>
      </c>
      <c r="F8" s="5" t="s">
        <v>8</v>
      </c>
      <c r="G8" s="6">
        <v>750</v>
      </c>
      <c r="H8" s="1">
        <f t="array" ref="H8">MAX(IF(E:E=E8,G:G))</f>
        <v>750</v>
      </c>
      <c r="I8" s="1" t="str">
        <f t="array" ref="I8">IF(G8=H8,D8,"")</f>
        <v>Ada Lovelace</v>
      </c>
      <c r="J8" s="1" t="str">
        <f t="array" ref="J8">IF(G8=MAX(IF(E:E=E8,G:G)),D8,"")</f>
        <v>Ada Lovelace</v>
      </c>
      <c r="P8" s="11" t="str">
        <f>INDEX(D2:D100, MATCH(MAX(G2:G100), G2:G100, 0))</f>
        <v>Carol Shaw</v>
      </c>
    </row>
    <row r="9" spans="1:17" ht="16.5" thickBot="1" x14ac:dyDescent="0.3">
      <c r="C9" s="4">
        <v>4</v>
      </c>
      <c r="D9" s="5" t="s">
        <v>13</v>
      </c>
      <c r="E9" s="5" t="s">
        <v>9</v>
      </c>
      <c r="F9" s="5" t="s">
        <v>5</v>
      </c>
      <c r="G9" s="6">
        <v>550</v>
      </c>
      <c r="H9" s="1">
        <f t="array" ref="H9">MAX(IF(E:E=E9,G:G))</f>
        <v>600</v>
      </c>
      <c r="I9" s="1" t="str">
        <f t="array" ref="I9">IF(G9=H9,D9,"")</f>
        <v/>
      </c>
      <c r="J9" s="1" t="str">
        <f t="array" ref="J9">IF(G9=MAX(IF(E:E=E9,G:G)),D9,"")</f>
        <v/>
      </c>
      <c r="P9" s="11" cm="1">
        <f t="array" ref="P9">INDEX(D2:D100, MATCH(MAX(IF(E2:E100=I2, G2:G100)), IF(E2:E100=I2, G2:G100), 0))</f>
        <v>0</v>
      </c>
    </row>
    <row r="10" spans="1:17" ht="16.5" thickBot="1" x14ac:dyDescent="0.3">
      <c r="C10" s="4">
        <v>5</v>
      </c>
      <c r="D10" s="5" t="s">
        <v>14</v>
      </c>
      <c r="E10" s="5" t="s">
        <v>6</v>
      </c>
      <c r="F10" s="5" t="s">
        <v>8</v>
      </c>
      <c r="G10" s="6">
        <v>450</v>
      </c>
      <c r="H10" s="1">
        <f t="array" ref="H10">MAX(IF(E:E=E10,G:G))</f>
        <v>850</v>
      </c>
      <c r="I10" s="1" t="str">
        <f t="array" ref="I10">IF(G10=H10,D10,"")</f>
        <v/>
      </c>
      <c r="J10" s="1" t="str" cm="1">
        <f t="array" ref="J10">IF(G10=MAX(IF(E:E=E10,G:G)),D10,"")</f>
        <v/>
      </c>
      <c r="P10" s="11" cm="1">
        <f t="array" ref="P10">INDEX(D3:D101, MATCH(MAX(IF(E3:E101=I3, G3:G101)), IF(E3:E101=I3, G3:G101), 0))</f>
        <v>0</v>
      </c>
    </row>
    <row r="11" spans="1:17" ht="16.5" thickBot="1" x14ac:dyDescent="0.3">
      <c r="C11" s="4">
        <v>6</v>
      </c>
      <c r="D11" s="5" t="s">
        <v>15</v>
      </c>
      <c r="E11" s="5" t="s">
        <v>4</v>
      </c>
      <c r="F11" s="5" t="s">
        <v>7</v>
      </c>
      <c r="G11" s="6">
        <v>400</v>
      </c>
      <c r="H11" s="1">
        <f t="array" ref="H11">MAX(IF(E:E=E11,G:G))</f>
        <v>750</v>
      </c>
      <c r="I11" s="1" t="str">
        <f t="array" ref="I11">IF(G11=H11,D11,"")</f>
        <v/>
      </c>
      <c r="J11" s="1" t="str" cm="1">
        <f t="array" ref="J11">IF(G11=MAX(IF(E:E=E11,G:G)),D11,"")</f>
        <v/>
      </c>
      <c r="K11" s="8"/>
      <c r="P11" s="11" cm="1">
        <f t="array" ref="P11">INDEX(D4:D102, MATCH(MAX(IF(E4:E102=I4, G4:G102)), IF(E4:E102=I4, G4:G102), 0))</f>
        <v>0</v>
      </c>
    </row>
    <row r="12" spans="1:17" ht="16.5" thickBot="1" x14ac:dyDescent="0.3">
      <c r="C12" s="4">
        <v>7</v>
      </c>
      <c r="D12" s="5" t="s">
        <v>16</v>
      </c>
      <c r="E12" s="5" t="s">
        <v>6</v>
      </c>
      <c r="F12" s="5" t="s">
        <v>5</v>
      </c>
      <c r="G12" s="6">
        <v>600</v>
      </c>
      <c r="H12" s="1">
        <f t="array" ref="H12">MAX(IF(E:E=E12,G:G))</f>
        <v>850</v>
      </c>
      <c r="I12" s="1" t="str">
        <f t="array" ref="I12">IF(G12=H12,D12,"")</f>
        <v/>
      </c>
      <c r="J12" s="1" t="str" cm="1">
        <f t="array" ref="J12">IF(G12=MAX(IF(E:E=E12,G:G)),D12,"")</f>
        <v/>
      </c>
      <c r="K12" s="8"/>
      <c r="P12" s="11" cm="1">
        <f t="array" ref="P12">INDEX(D5:D103, MATCH(MAX(IF(E5:E103=I5, G5:G103)), IF(E5:E103=I5, G5:G103), 0))</f>
        <v>0</v>
      </c>
    </row>
    <row r="13" spans="1:17" ht="16.5" thickBot="1" x14ac:dyDescent="0.3">
      <c r="C13" s="4">
        <v>8</v>
      </c>
      <c r="D13" s="5" t="s">
        <v>17</v>
      </c>
      <c r="E13" s="5" t="s">
        <v>4</v>
      </c>
      <c r="F13" s="5" t="s">
        <v>5</v>
      </c>
      <c r="G13" s="6">
        <v>650</v>
      </c>
      <c r="H13" s="1">
        <f t="array" ref="H13">MAX(IF(E:E=E13,G:G))</f>
        <v>750</v>
      </c>
      <c r="I13" s="1" t="str">
        <f t="array" ref="I13">IF(G13=H13,D13,"")</f>
        <v/>
      </c>
      <c r="J13" s="1" t="str" cm="1">
        <f t="array" ref="J13">IF(G13=MAX(IF(E:E=E13,G:G)),D13,"")</f>
        <v/>
      </c>
      <c r="K13" s="8"/>
    </row>
    <row r="14" spans="1:17" ht="16.5" thickBot="1" x14ac:dyDescent="0.3">
      <c r="C14" s="4">
        <v>9</v>
      </c>
      <c r="D14" s="5" t="s">
        <v>18</v>
      </c>
      <c r="E14" s="5" t="s">
        <v>9</v>
      </c>
      <c r="F14" s="5" t="s">
        <v>8</v>
      </c>
      <c r="G14" s="6">
        <v>350</v>
      </c>
      <c r="H14" s="1" cm="1">
        <f t="array" ref="H14">MAX(IF(E:E=E14,G:G))</f>
        <v>600</v>
      </c>
      <c r="I14" s="1" t="str">
        <f t="array" ref="I14">IF(G14=H14,D14,"")</f>
        <v/>
      </c>
      <c r="J14" s="1" t="str" cm="1">
        <f t="array" ref="J14">IF(G14=MAX(IF(E:E=E14,G:G)),D14,"")</f>
        <v/>
      </c>
    </row>
    <row r="15" spans="1:17" ht="16.5" thickBot="1" x14ac:dyDescent="0.3">
      <c r="C15" s="4">
        <v>10</v>
      </c>
      <c r="D15" s="5" t="s">
        <v>19</v>
      </c>
      <c r="E15" s="5" t="s">
        <v>6</v>
      </c>
      <c r="F15" s="5" t="s">
        <v>7</v>
      </c>
      <c r="G15" s="6">
        <v>400</v>
      </c>
      <c r="H15" s="1" cm="1">
        <f t="array" ref="H15">MAX(IF(E:E=E15,G:G))</f>
        <v>850</v>
      </c>
      <c r="I15" s="1" t="str">
        <f t="array" ref="I15">IF(G15=H15,D15,"")</f>
        <v/>
      </c>
      <c r="J15" s="1" t="str" cm="1">
        <f t="array" ref="J15">IF(G15=MAX(IF(E:E=E15,G:G)),D15,"")</f>
        <v/>
      </c>
      <c r="K15" s="1" t="str">
        <f t="array" ref="K15">IFERROR(
  INDEX($D$6:$D$100,
    _xlfn.AGGREGATE(
      15, 6,
      (ROW($D$6:$D$100)-ROW($D$6)+1) /
      (
        (
          SUMIFS(
            $G$6:$G$100,
            $D$6:$D$100,$D$6:$D$100,
            $E$6:$E$100,
            INDEX($E$6:$E$100,
              _xlfn.AGGREGATE(
                15,6,
                (ROW($E$6:$E$100)-ROW($E$6)+1) /
                (MATCH($E$6:$E$100,$E$6:$E$100,0)=ROW($E$6:$E$100)-ROW($E$6)+1),
                ROW(B1)
              )
            )
          )
          =
          MAX(
            SUMIFS(
              $G$6:$G$100,
              $D$6:$D$100,$D$6:$D$100,
              $E$6:$E$100,
              INDEX($E$6:$E$100,
                _xlfn.AGGREGATE(
                  15,6,
                  (ROW($E$6:$E$100)-ROW($E$6)+1) /
                  (MATCH($E$6:$E$100,$E$6:$E$100,0)=ROW($E$6:$E$100)-ROW($E$6)+1),
                  ROW(B1)
                )
              )
            )
          )
        )
        *
        (MATCH($D$6:$D$100,$D$6:$D$100,0)=ROW($D$6:$D$100)-ROW($D$6)+1)
      ),
      1
    )
  ),
""
)</f>
        <v>Ada Lovelace</v>
      </c>
    </row>
    <row r="16" spans="1:17" ht="16.5" thickBot="1" x14ac:dyDescent="0.3">
      <c r="C16" s="4">
        <v>11</v>
      </c>
      <c r="D16" s="5" t="s">
        <v>20</v>
      </c>
      <c r="E16" s="5" t="s">
        <v>4</v>
      </c>
      <c r="F16" s="5" t="s">
        <v>8</v>
      </c>
      <c r="G16" s="6">
        <v>550</v>
      </c>
      <c r="H16" s="1" cm="1">
        <f t="array" ref="H16">MAX(IF(E:E=E16,G:G))</f>
        <v>750</v>
      </c>
      <c r="I16" s="1" t="str">
        <f t="array" ref="I16">IF(G16=H16,D16,"")</f>
        <v/>
      </c>
      <c r="J16" s="1" t="str">
        <f t="array" ref="J16">IFERROR(
  INDEX($D$6:$D$100,
    _xlfn.AGGREGATE(
      15, 6,
      (ROW($D$6:$D$100)-ROW($D$6)+1) /
      (
        (
          SUMIFS(
            $G$6:$G$100,
            $D$6:$D$100,$D$6:$D$100,
            $E$6:$E$100,
            INDEX($E$6:$E$100,
              _xlfn.AGGREGATE(
                15,6,
                (ROW($E$6:$E$100)-ROW($E$6)+1) /
                (MATCH($E$6:$E$100,$E$6:$E$100,0)=ROW($E$6:$E$100)-ROW($E$6)+1),
                ROW(A2)
              )
            )
          )
          =
          MAX(
            SUMIFS(
              $G$6:$G$100,
              $D$6:$D$100,$D$6:$D$100,
              $E$6:$E$100,
              INDEX($E$6:$E$100,
                _xlfn.AGGREGATE(
                  15,6,
                  (ROW($E$6:$E$100)-ROW($E$6)+1) /
                  (MATCH($E$6:$E$100,$E$6:$E$100,0)=ROW($E$6:$E$100)-ROW($E$6)+1),
                  ROW(A2)
                )
              )
            )
          )
        )
        *
        (MATCH($D$6:$D$100,$D$6:$D$100,0)=ROW($D$6:$D$100)-ROW($D$6)+1)
      ),
      1
    )
  ),
""
)</f>
        <v>Carol Shaw</v>
      </c>
      <c r="K16" s="1" t="str">
        <f t="array" ref="K16">IFERROR(
  INDEX($D$6:$D$100,
    _xlfn.AGGREGATE(
      15, 6,
      (ROW($D$6:$D$100)-ROW($D$6)+1) /
      (
        (
          SUMIFS(
            $G$6:$G$100,
            $D$6:$D$100,$D$6:$D$100,
            $E$6:$E$100,
            INDEX($E$6:$E$100,
              _xlfn.AGGREGATE(
                15,6,
                (ROW($E$6:$E$100)-ROW($E$6)+1) /
                (MATCH($E$6:$E$100,$E$6:$E$100,0)=ROW($E$6:$E$100)-ROW($E$6)+1),
                ROW(B2)
              )
            )
          )
          =
          MAX(
            SUMIFS(
              $G$6:$G$100,
              $D$6:$D$100,$D$6:$D$100,
              $E$6:$E$100,
              INDEX($E$6:$E$100,
                _xlfn.AGGREGATE(
                  15,6,
                  (ROW($E$6:$E$100)-ROW($E$6)+1) /
                  (MATCH($E$6:$E$100,$E$6:$E$100,0)=ROW($E$6:$E$100)-ROW($E$6)+1),
                  ROW(B2)
                )
              )
            )
          )
        )
        *
        (MATCH($D$6:$D$100,$D$6:$D$100,0)=ROW($D$6:$D$100)-ROW($D$6)+1)
      ),
      1
    )
  ),
""
)</f>
        <v>Carol Shaw</v>
      </c>
    </row>
    <row r="17" spans="3:11" ht="16.5" thickBot="1" x14ac:dyDescent="0.3">
      <c r="C17" s="4">
        <v>12</v>
      </c>
      <c r="D17" s="5" t="s">
        <v>21</v>
      </c>
      <c r="E17" s="5" t="s">
        <v>6</v>
      </c>
      <c r="F17" s="5" t="s">
        <v>8</v>
      </c>
      <c r="G17" s="6">
        <v>300</v>
      </c>
      <c r="H17" s="1" cm="1">
        <f t="array" ref="H17">MAX(IF(E:E=E17,G:G))</f>
        <v>850</v>
      </c>
      <c r="I17" s="1" t="str">
        <f t="array" ref="I17">IF(G17=H17,D17,"")</f>
        <v/>
      </c>
      <c r="J17" s="1" t="str">
        <f t="array" ref="J17">IFERROR(
  INDEX($D$6:$D$100,
    _xlfn.AGGREGATE(
      15, 6,
      (ROW($D$6:$D$100)-ROW($D$6)+1) /
      (
        (
          SUMIFS(
            $G$6:$G$100,
            $D$6:$D$100,$D$6:$D$100,
            $E$6:$E$100,
            INDEX($E$6:$E$100,
              _xlfn.AGGREGATE(
                15,6,
                (ROW($E$6:$E$100)-ROW($E$6)+1) /
                (MATCH($E$6:$E$100,$E$6:$E$100,0)=ROW($E$6:$E$100)-ROW($E$6)+1),
                ROW(A3)
              )
            )
          )
          =
          MAX(
            SUMIFS(
              $G$6:$G$100,
              $D$6:$D$100,$D$6:$D$100,
              $E$6:$E$100,
              INDEX($E$6:$E$100,
                _xlfn.AGGREGATE(
                  15,6,
                  (ROW($E$6:$E$100)-ROW($E$6)+1) /
                  (MATCH($E$6:$E$100,$E$6:$E$100,0)=ROW($E$6:$E$100)-ROW($E$6)+1),
                  ROW(A3)
                )
              )
            )
          )
        )
        *
        (MATCH($D$6:$D$100,$D$6:$D$100,0)=ROW($D$6:$D$100)-ROW($D$6)+1)
      ),
      1
    )
  ),
""
)</f>
        <v>Barbara Liskov</v>
      </c>
      <c r="K17" s="1" t="str">
        <f t="array" ref="K17">IFERROR(
  INDEX($D$6:$D$100,
    _xlfn.AGGREGATE(
      15, 6,
      (ROW($D$6:$D$100)-ROW($D$6)+1) /
      (
        (
          SUMIFS(
            $G$6:$G$100,
            $D$6:$D$100,$D$6:$D$100,
            $E$6:$E$100,
            INDEX($E$6:$E$100,
              _xlfn.AGGREGATE(
                15,6,
                (ROW($E$6:$E$100)-ROW($E$6)+1) /
                (MATCH($E$6:$E$100,$E$6:$E$100,0)=ROW($E$6:$E$100)-ROW($E$6)+1),
                ROW(B3)
              )
            )
          )
          =
          MAX(
            SUMIFS(
              $G$6:$G$100,
              $D$6:$D$100,$D$6:$D$100,
              $E$6:$E$100,
              INDEX($E$6:$E$100,
                _xlfn.AGGREGATE(
                  15,6,
                  (ROW($E$6:$E$100)-ROW($E$6)+1) /
                  (MATCH($E$6:$E$100,$E$6:$E$100,0)=ROW($E$6:$E$100)-ROW($E$6)+1),
                  ROW(B3)
                )
              )
            )
          )
        )
        *
        (MATCH($D$6:$D$100,$D$6:$D$100,0)=ROW($D$6:$D$100)-ROW($D$6)+1)
      ),
      1
    )
  ),
""
)</f>
        <v>Barbara Liskov</v>
      </c>
    </row>
    <row r="18" spans="3:11" ht="16.5" thickBot="1" x14ac:dyDescent="0.3">
      <c r="C18" s="4">
        <v>13</v>
      </c>
      <c r="D18" s="5" t="s">
        <v>22</v>
      </c>
      <c r="E18" s="5" t="s">
        <v>4</v>
      </c>
      <c r="F18" s="5" t="s">
        <v>7</v>
      </c>
      <c r="G18" s="6">
        <v>500</v>
      </c>
      <c r="H18" s="1" cm="1">
        <f t="array" ref="H18">MAX(IF(E:E=E18,G:G))</f>
        <v>750</v>
      </c>
      <c r="I18" s="1" t="str">
        <f t="array" ref="I18">IF(G18=H18,D18,"")</f>
        <v/>
      </c>
      <c r="J18" s="1" t="str">
        <f t="array" ref="J18">IFERROR(
  INDEX($D$6:$D$100,
    _xlfn.AGGREGATE(
      15, 6,
      (ROW($D$6:$D$100)-ROW($D$6)+1) /
      (
        (
          SUMIFS(
            $G$6:$G$100,
            $D$6:$D$100,$D$6:$D$100,
            $E$6:$E$100,
            INDEX($E$6:$E$100,
              _xlfn.AGGREGATE(
                15,6,
                (ROW($E$6:$E$100)-ROW($E$6)+1) /
                (MATCH($E$6:$E$100,$E$6:$E$100,0)=ROW($E$6:$E$100)-ROW($E$6)+1),
                ROW(A4)
              )
            )
          )
          =
          MAX(
            SUMIFS(
              $G$6:$G$100,
              $D$6:$D$100,$D$6:$D$100,
              $E$6:$E$100,
              INDEX($E$6:$E$100,
                _xlfn.AGGREGATE(
                  15,6,
                  (ROW($E$6:$E$100)-ROW($E$6)+1) /
                  (MATCH($E$6:$E$100,$E$6:$E$100,0)=ROW($E$6:$E$100)-ROW($E$6)+1),
                  ROW(A4)
                )
              )
            )
          )
        )
        *
        (MATCH($D$6:$D$100,$D$6:$D$100,0)=ROW($D$6:$D$100)-ROW($D$6)+1)
      ),
      1
    )
  ),
""
)</f>
        <v>Alan Turing</v>
      </c>
      <c r="K18" s="1" t="str">
        <f t="array" ref="K18">IFERROR(
  INDEX($D$6:$D$100,
    _xlfn.AGGREGATE(
      15, 6,
      (ROW($D$6:$D$100)-ROW($D$6)+1) /
      (
        (
          SUMIFS(
            $G$6:$G$100,
            $D$6:$D$100,$D$6:$D$100,
            $E$6:$E$100,
            INDEX($E$6:$E$100,
              _xlfn.AGGREGATE(
                15,6,
                (ROW($E$6:$E$100)-ROW($E$6)+1) /
                (MATCH($E$6:$E$100,$E$6:$E$100,0)=ROW($E$6:$E$100)-ROW($E$6)+1),
                ROW(B4)
              )
            )
          )
          =
          MAX(
            SUMIFS(
              $G$6:$G$100,
              $D$6:$D$100,$D$6:$D$100,
              $E$6:$E$100,
              INDEX($E$6:$E$100,
                _xlfn.AGGREGATE(
                  15,6,
                  (ROW($E$6:$E$100)-ROW($E$6)+1) /
                  (MATCH($E$6:$E$100,$E$6:$E$100,0)=ROW($E$6:$E$100)-ROW($E$6)+1),
                  ROW(B4)
                )
              )
            )
          )
        )
        *
        (MATCH($D$6:$D$100,$D$6:$D$100,0)=ROW($D$6:$D$100)-ROW($D$6)+1)
      ),
      1
    )
  ),
""
)</f>
        <v>Alan Turing</v>
      </c>
    </row>
    <row r="19" spans="3:11" ht="16.5" thickBot="1" x14ac:dyDescent="0.3">
      <c r="C19" s="4">
        <v>14</v>
      </c>
      <c r="D19" s="5" t="s">
        <v>23</v>
      </c>
      <c r="E19" s="5" t="s">
        <v>9</v>
      </c>
      <c r="F19" s="5" t="s">
        <v>7</v>
      </c>
      <c r="G19" s="6">
        <v>500</v>
      </c>
      <c r="H19" s="1" cm="1">
        <f t="array" ref="H19">MAX(IF(E:E=E19,G:G))</f>
        <v>600</v>
      </c>
      <c r="I19" s="1" t="str">
        <f t="array" ref="I19">IF(G19=H19,D19,"")</f>
        <v/>
      </c>
      <c r="J19" s="1" t="str">
        <f t="array" ref="J19">IFERROR(
  INDEX($D$6:$D$100,
    _xlfn.AGGREGATE(
      15, 6,
      (ROW($D$6:$D$100)-ROW($D$6)+1) /
      (
        (
          SUMIFS(
            $G$6:$G$100,
            $D$6:$D$100,$D$6:$D$100,
            $E$6:$E$100,
            INDEX($E$6:$E$100,
              _xlfn.AGGREGATE(
                15,6,
                (ROW($E$6:$E$100)-ROW($E$6)+1) /
                (MATCH($E$6:$E$100,$E$6:$E$100,0)=ROW($E$6:$E$100)-ROW($E$6)+1),
                ROW(A5)
              )
            )
          )
          =
          MAX(
            SUMIFS(
              $G$6:$G$100,
              $D$6:$D$100,$D$6:$D$100,
              $E$6:$E$100,
              INDEX($E$6:$E$100,
                _xlfn.AGGREGATE(
                  15,6,
                  (ROW($E$6:$E$100)-ROW($E$6)+1) /
                  (MATCH($E$6:$E$100,$E$6:$E$100,0)=ROW($E$6:$E$100)-ROW($E$6)+1),
                  ROW(A5)
                )
              )
            )
          )
        )
        *
        (MATCH($D$6:$D$100,$D$6:$D$100,0)=ROW($D$6:$D$100)-ROW($D$6)+1)
      ),
      1
    )
  ),
""
)</f>
        <v>Alan Turing</v>
      </c>
      <c r="K19" s="1" t="str">
        <f t="array" ref="K19">IFERROR(
  INDEX($D$6:$D$100,
    _xlfn.AGGREGATE(
      15, 6,
      (ROW($D$6:$D$100)-ROW($D$6)+1) /
      (
        (
          SUMIFS(
            $G$6:$G$100,
            $D$6:$D$100,$D$6:$D$100,
            $E$6:$E$100,
            INDEX($E$6:$E$100,
              _xlfn.AGGREGATE(
                15,6,
                (ROW($E$6:$E$100)-ROW($E$6)+1) /
                (MATCH($E$6:$E$100,$E$6:$E$100,0)=ROW($E$6:$E$100)-ROW($E$6)+1),
                ROW(B5)
              )
            )
          )
          =
          MAX(
            SUMIFS(
              $G$6:$G$100,
              $D$6:$D$100,$D$6:$D$100,
              $E$6:$E$100,
              INDEX($E$6:$E$100,
                _xlfn.AGGREGATE(
                  15,6,
                  (ROW($E$6:$E$100)-ROW($E$6)+1) /
                  (MATCH($E$6:$E$100,$E$6:$E$100,0)=ROW($E$6:$E$100)-ROW($E$6)+1),
                  ROW(B5)
                )
              )
            )
          )
        )
        *
        (MATCH($D$6:$D$100,$D$6:$D$100,0)=ROW($D$6:$D$100)-ROW($D$6)+1)
      ),
      1
    )
  ),
""
)</f>
        <v>Alan Turing</v>
      </c>
    </row>
    <row r="20" spans="3:11" ht="16.5" thickBot="1" x14ac:dyDescent="0.3">
      <c r="C20" s="4">
        <v>15</v>
      </c>
      <c r="D20" s="5" t="s">
        <v>24</v>
      </c>
      <c r="E20" s="5" t="s">
        <v>6</v>
      </c>
      <c r="F20" s="5" t="s">
        <v>5</v>
      </c>
      <c r="G20" s="6">
        <v>650</v>
      </c>
      <c r="H20" s="1" cm="1">
        <f t="array" ref="H20">MAX(IF(E:E=E20,G:G))</f>
        <v>850</v>
      </c>
      <c r="I20" s="1" t="str">
        <f t="array" ref="I20">IF(G20=H20,D20,"")</f>
        <v/>
      </c>
      <c r="J20" s="1" t="str">
        <f t="array" ref="J20">IFERROR(
  INDEX($D$6:$D$100,
    _xlfn.AGGREGATE(
      15, 6,
      (ROW($D$6:$D$100)-ROW($D$6)+1) /
      (
        (
          SUMIFS(
            $G$6:$G$100,
            $D$6:$D$100,$D$6:$D$100,
            $E$6:$E$100,
            INDEX($E$6:$E$100,
              _xlfn.AGGREGATE(
                15,6,
                (ROW($E$6:$E$100)-ROW($E$6)+1) /
                (MATCH($E$6:$E$100,$E$6:$E$100,0)=ROW($E$6:$E$100)-ROW($E$6)+1),
                ROW(A6)
              )
            )
          )
          =
          MAX(
            SUMIFS(
              $G$6:$G$100,
              $D$6:$D$100,$D$6:$D$100,
              $E$6:$E$100,
              INDEX($E$6:$E$100,
                _xlfn.AGGREGATE(
                  15,6,
                  (ROW($E$6:$E$100)-ROW($E$6)+1) /
                  (MATCH($E$6:$E$100,$E$6:$E$100,0)=ROW($E$6:$E$100)-ROW($E$6)+1),
                  ROW(A6)
                )
              )
            )
          )
        )
        *
        (MATCH($D$6:$D$100,$D$6:$D$100,0)=ROW($D$6:$D$100)-ROW($D$6)+1)
      ),
      1
    )
  ),
""
)</f>
        <v>Alan Turing</v>
      </c>
      <c r="K20" s="1" t="str">
        <f t="array" ref="K20">IFERROR(
  INDEX($D$6:$D$100,
    _xlfn.AGGREGATE(
      15, 6,
      (ROW($D$6:$D$100)-ROW($D$6)+1) /
      (
        (
          SUMIFS(
            $G$6:$G$100,
            $D$6:$D$100,$D$6:$D$100,
            $E$6:$E$100,
            INDEX($E$6:$E$100,
              _xlfn.AGGREGATE(
                15,6,
                (ROW($E$6:$E$100)-ROW($E$6)+1) /
                (MATCH($E$6:$E$100,$E$6:$E$100,0)=ROW($E$6:$E$100)-ROW($E$6)+1),
                ROW(B6)
              )
            )
          )
          =
          MAX(
            SUMIFS(
              $G$6:$G$100,
              $D$6:$D$100,$D$6:$D$100,
              $E$6:$E$100,
              INDEX($E$6:$E$100,
                _xlfn.AGGREGATE(
                  15,6,
                  (ROW($E$6:$E$100)-ROW($E$6)+1) /
                  (MATCH($E$6:$E$100,$E$6:$E$100,0)=ROW($E$6:$E$100)-ROW($E$6)+1),
                  ROW(B6)
                )
              )
            )
          )
        )
        *
        (MATCH($D$6:$D$100,$D$6:$D$100,0)=ROW($D$6:$D$100)-ROW($D$6)+1)
      ),
      1
    )
  ),
""
)</f>
        <v>Alan Turing</v>
      </c>
    </row>
    <row r="21" spans="3:11" ht="16.5" thickBot="1" x14ac:dyDescent="0.3">
      <c r="C21" s="4">
        <v>16</v>
      </c>
      <c r="D21" s="5" t="s">
        <v>25</v>
      </c>
      <c r="E21" s="5" t="s">
        <v>4</v>
      </c>
      <c r="F21" s="5" t="s">
        <v>5</v>
      </c>
      <c r="G21" s="6">
        <v>600</v>
      </c>
      <c r="I21" s="1" t="str">
        <f t="array" ref="I21">IF(G21=H21,D21,"")</f>
        <v/>
      </c>
      <c r="J21" s="1" t="str">
        <f t="array" ref="J21">IFERROR(
  INDEX($D$6:$D$100,
    _xlfn.AGGREGATE(
      15, 6,
      (ROW($D$6:$D$100)-ROW($D$6)+1) /
      (
        (
          SUMIFS(
            $G$6:$G$100,
            $D$6:$D$100,$D$6:$D$100,
            $E$6:$E$100,
            INDEX($E$6:$E$100,
              _xlfn.AGGREGATE(
                15,6,
                (ROW($E$6:$E$100)-ROW($E$6)+1) /
                (MATCH($E$6:$E$100,$E$6:$E$100,0)=ROW($E$6:$E$100)-ROW($E$6)+1),
                ROW(A7)
              )
            )
          )
          =
          MAX(
            SUMIFS(
              $G$6:$G$100,
              $D$6:$D$100,$D$6:$D$100,
              $E$6:$E$100,
              INDEX($E$6:$E$100,
                _xlfn.AGGREGATE(
                  15,6,
                  (ROW($E$6:$E$100)-ROW($E$6)+1) /
                  (MATCH($E$6:$E$100,$E$6:$E$100,0)=ROW($E$6:$E$100)-ROW($E$6)+1),
                  ROW(A7)
                )
              )
            )
          )
        )
        *
        (MATCH($D$6:$D$100,$D$6:$D$100,0)=ROW($D$6:$D$100)-ROW($D$6)+1)
      ),
      1
    )
  ),
""
)</f>
        <v>Alan Turing</v>
      </c>
      <c r="K21" s="1" t="str">
        <f t="array" ref="K21">IFERROR(
  INDEX($D$6:$D$100,
    _xlfn.AGGREGATE(
      15, 6,
      (ROW($D$6:$D$100)-ROW($D$6)+1) /
      (
        (
          SUMIFS(
            $G$6:$G$100,
            $D$6:$D$100,$D$6:$D$100,
            $E$6:$E$100,
            INDEX($E$6:$E$100,
              _xlfn.AGGREGATE(
                15,6,
                (ROW($E$6:$E$100)-ROW($E$6)+1) /
                (MATCH($E$6:$E$100,$E$6:$E$100,0)=ROW($E$6:$E$100)-ROW($E$6)+1),
                ROW(B7)
              )
            )
          )
          =
          MAX(
            SUMIFS(
              $G$6:$G$100,
              $D$6:$D$100,$D$6:$D$100,
              $E$6:$E$100,
              INDEX($E$6:$E$100,
                _xlfn.AGGREGATE(
                  15,6,
                  (ROW($E$6:$E$100)-ROW($E$6)+1) /
                  (MATCH($E$6:$E$100,$E$6:$E$100,0)=ROW($E$6:$E$100)-ROW($E$6)+1),
                  ROW(B7)
                )
              )
            )
          )
        )
        *
        (MATCH($D$6:$D$100,$D$6:$D$100,0)=ROW($D$6:$D$100)-ROW($D$6)+1)
      ),
      1
    )
  ),
""
)</f>
        <v>Alan Turing</v>
      </c>
    </row>
    <row r="22" spans="3:11" ht="16.5" thickBot="1" x14ac:dyDescent="0.3">
      <c r="C22" s="4">
        <v>17</v>
      </c>
      <c r="D22" s="5" t="s">
        <v>26</v>
      </c>
      <c r="E22" s="5" t="s">
        <v>6</v>
      </c>
      <c r="F22" s="5" t="s">
        <v>7</v>
      </c>
      <c r="G22" s="6">
        <v>750</v>
      </c>
      <c r="I22" s="1" t="str">
        <f t="array" ref="I22">IF(G22=H22,D22,"")</f>
        <v/>
      </c>
    </row>
    <row r="23" spans="3:11" ht="16.5" thickBot="1" x14ac:dyDescent="0.3">
      <c r="C23" s="4">
        <v>18</v>
      </c>
      <c r="D23" s="5" t="s">
        <v>27</v>
      </c>
      <c r="E23" s="5" t="s">
        <v>9</v>
      </c>
      <c r="F23" s="5" t="s">
        <v>8</v>
      </c>
      <c r="G23" s="6">
        <v>600</v>
      </c>
      <c r="I23" s="1" t="str">
        <f t="array" ref="I23">IF(G23=H23,D23,"")</f>
        <v/>
      </c>
    </row>
    <row r="24" spans="3:11" ht="16.5" thickBot="1" x14ac:dyDescent="0.3">
      <c r="C24" s="4">
        <v>19</v>
      </c>
      <c r="D24" s="5" t="s">
        <v>28</v>
      </c>
      <c r="E24" s="5" t="s">
        <v>4</v>
      </c>
      <c r="F24" s="5" t="s">
        <v>8</v>
      </c>
      <c r="G24" s="6">
        <v>550</v>
      </c>
    </row>
    <row r="25" spans="3:11" ht="16.5" thickBot="1" x14ac:dyDescent="0.3">
      <c r="C25" s="4">
        <v>20</v>
      </c>
      <c r="D25" s="5" t="s">
        <v>29</v>
      </c>
      <c r="E25" s="5" t="s">
        <v>6</v>
      </c>
      <c r="F25" s="5" t="s">
        <v>5</v>
      </c>
      <c r="G25" s="6">
        <v>850</v>
      </c>
    </row>
    <row r="26" spans="3:11" ht="16.5" thickBot="1" x14ac:dyDescent="0.3">
      <c r="C26" s="4">
        <v>21</v>
      </c>
      <c r="D26" s="5" t="s">
        <v>30</v>
      </c>
      <c r="E26" s="5" t="s">
        <v>9</v>
      </c>
      <c r="F26" s="5" t="s">
        <v>5</v>
      </c>
      <c r="G26" s="6">
        <v>470</v>
      </c>
    </row>
    <row r="27" spans="3:11" ht="16.5" thickBot="1" x14ac:dyDescent="0.3">
      <c r="C27" s="4">
        <v>22</v>
      </c>
      <c r="D27" s="5" t="s">
        <v>31</v>
      </c>
      <c r="E27" s="5" t="s">
        <v>4</v>
      </c>
      <c r="F27" s="5" t="s">
        <v>7</v>
      </c>
      <c r="G27" s="6">
        <v>310</v>
      </c>
    </row>
    <row r="28" spans="3:11" ht="16.5" thickBot="1" x14ac:dyDescent="0.3">
      <c r="C28" s="4">
        <v>23</v>
      </c>
      <c r="D28" s="5" t="s">
        <v>32</v>
      </c>
      <c r="E28" s="5" t="s">
        <v>6</v>
      </c>
      <c r="F28" s="5" t="s">
        <v>8</v>
      </c>
      <c r="G28" s="6">
        <v>290</v>
      </c>
    </row>
    <row r="29" spans="3:11" ht="16.5" thickBot="1" x14ac:dyDescent="0.3">
      <c r="C29" s="4">
        <v>24</v>
      </c>
      <c r="D29" s="5" t="s">
        <v>33</v>
      </c>
      <c r="E29" s="5" t="s">
        <v>9</v>
      </c>
      <c r="F29" s="5" t="s">
        <v>7</v>
      </c>
      <c r="G29" s="6">
        <v>520</v>
      </c>
    </row>
    <row r="30" spans="3:11" ht="16.5" thickBot="1" x14ac:dyDescent="0.3">
      <c r="C30" s="4">
        <v>25</v>
      </c>
      <c r="D30" s="5" t="s">
        <v>34</v>
      </c>
      <c r="E30" s="5" t="s">
        <v>4</v>
      </c>
      <c r="F30" s="5" t="s">
        <v>5</v>
      </c>
      <c r="G30" s="6">
        <v>630</v>
      </c>
    </row>
    <row r="31" spans="3:11" ht="16.5" thickBot="1" x14ac:dyDescent="0.3">
      <c r="C31" s="4">
        <v>26</v>
      </c>
      <c r="D31" s="5" t="s">
        <v>35</v>
      </c>
      <c r="E31" s="5" t="s">
        <v>6</v>
      </c>
      <c r="F31" s="5" t="s">
        <v>7</v>
      </c>
      <c r="G31" s="6">
        <v>410</v>
      </c>
    </row>
    <row r="32" spans="3:11" ht="16.5" thickBot="1" x14ac:dyDescent="0.3">
      <c r="C32" s="4">
        <v>27</v>
      </c>
      <c r="D32" s="5" t="s">
        <v>36</v>
      </c>
      <c r="E32" s="5" t="s">
        <v>9</v>
      </c>
      <c r="F32" s="5" t="s">
        <v>8</v>
      </c>
      <c r="G32" s="6">
        <v>560</v>
      </c>
    </row>
    <row r="33" spans="3:7" ht="16.5" thickBot="1" x14ac:dyDescent="0.3">
      <c r="C33" s="4">
        <v>28</v>
      </c>
      <c r="D33" s="5" t="s">
        <v>37</v>
      </c>
      <c r="E33" s="5" t="s">
        <v>4</v>
      </c>
      <c r="F33" s="5" t="s">
        <v>8</v>
      </c>
      <c r="G33" s="6">
        <v>490</v>
      </c>
    </row>
    <row r="34" spans="3:7" ht="16.5" thickBot="1" x14ac:dyDescent="0.3">
      <c r="C34" s="4">
        <v>29</v>
      </c>
      <c r="D34" s="5" t="s">
        <v>38</v>
      </c>
      <c r="E34" s="5" t="s">
        <v>9</v>
      </c>
      <c r="F34" s="5" t="s">
        <v>5</v>
      </c>
      <c r="G34" s="6">
        <v>580</v>
      </c>
    </row>
    <row r="35" spans="3:7" ht="16.5" thickBot="1" x14ac:dyDescent="0.3">
      <c r="C35" s="4">
        <v>30</v>
      </c>
      <c r="D35" s="5" t="s">
        <v>39</v>
      </c>
      <c r="E35" s="5" t="s">
        <v>6</v>
      </c>
      <c r="F35" s="5" t="s">
        <v>5</v>
      </c>
      <c r="G35" s="6">
        <v>670</v>
      </c>
    </row>
  </sheetData>
  <pageMargins left="0.7" right="0.7" top="0.75" bottom="0.75" header="0.3" footer="0.3"/>
  <pageSetup orientation="portrait" horizontalDpi="4294967295" verticalDpi="4294967295" r:id="rId1"/>
  <headerFooter>
    <oddFooter>&amp;L_x000D_&amp;1#&amp;"Calibri"&amp;10&amp;K000000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Butt, Muhammad, Vodafone Qatar</dc:creator>
  <cp:lastModifiedBy>studszkol 17</cp:lastModifiedBy>
  <dcterms:created xsi:type="dcterms:W3CDTF">2015-06-05T18:17:20Z</dcterms:created>
  <dcterms:modified xsi:type="dcterms:W3CDTF">2025-12-05T12:07:53Z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005795-ba7c-40ef-b6d7-815de3cb1a85_Enabled">
    <vt:lpwstr>true</vt:lpwstr>
  </property>
  <property fmtid="{D5CDD505-2E9C-101B-9397-08002B2CF9AE}" pid="3" name="MSIP_Label_4c005795-ba7c-40ef-b6d7-815de3cb1a85_SetDate">
    <vt:lpwstr>2024-02-07T17:28:56Z</vt:lpwstr>
  </property>
  <property fmtid="{D5CDD505-2E9C-101B-9397-08002B2CF9AE}" pid="4" name="MSIP_Label_4c005795-ba7c-40ef-b6d7-815de3cb1a85_Method">
    <vt:lpwstr>Standard</vt:lpwstr>
  </property>
  <property fmtid="{D5CDD505-2E9C-101B-9397-08002B2CF9AE}" pid="5" name="MSIP_Label_4c005795-ba7c-40ef-b6d7-815de3cb1a85_Name">
    <vt:lpwstr>defa4170-0d19-0005-0001-bc88714345d2</vt:lpwstr>
  </property>
  <property fmtid="{D5CDD505-2E9C-101B-9397-08002B2CF9AE}" pid="6" name="MSIP_Label_4c005795-ba7c-40ef-b6d7-815de3cb1a85_SiteId">
    <vt:lpwstr>c5d7ec23-378f-4174-8888-88b4c2ec7e12</vt:lpwstr>
  </property>
  <property fmtid="{D5CDD505-2E9C-101B-9397-08002B2CF9AE}" pid="7" name="MSIP_Label_4c005795-ba7c-40ef-b6d7-815de3cb1a85_ActionId">
    <vt:lpwstr>b1f1a423-6444-44fd-918e-f7eaf5630bed</vt:lpwstr>
  </property>
  <property fmtid="{D5CDD505-2E9C-101B-9397-08002B2CF9AE}" pid="8" name="MSIP_Label_4c005795-ba7c-40ef-b6d7-815de3cb1a85_ContentBits">
    <vt:lpwstr>2</vt:lpwstr>
  </property>
</Properties>
</file>